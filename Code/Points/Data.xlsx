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mn22dn_leeds_ac_uk/Documents/Robotics Coursework/Code/Points/"/>
    </mc:Choice>
  </mc:AlternateContent>
  <xr:revisionPtr revIDLastSave="71" documentId="8_{76FCB0A3-B22E-4636-AD00-9A0197799B56}" xr6:coauthVersionLast="47" xr6:coauthVersionMax="47" xr10:uidLastSave="{C2FFF722-AE96-4682-9E03-F138DA63653E}"/>
  <bookViews>
    <workbookView xWindow="-720" yWindow="12200" windowWidth="21600" windowHeight="11180" xr2:uid="{F0DC6DF1-7768-4FD4-BFE9-C44EE96A7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N15" i="1" s="1"/>
  <c r="J15" i="1"/>
  <c r="O15" i="1" s="1"/>
  <c r="I15" i="1"/>
  <c r="M15" i="1" s="1"/>
  <c r="K14" i="1"/>
  <c r="N14" i="1" s="1"/>
  <c r="J14" i="1"/>
  <c r="O14" i="1" s="1"/>
  <c r="I14" i="1"/>
  <c r="M14" i="1" s="1"/>
  <c r="I10" i="1"/>
  <c r="M10" i="1" s="1"/>
  <c r="J10" i="1"/>
  <c r="O10" i="1" s="1"/>
  <c r="K10" i="1"/>
  <c r="N10" i="1" s="1"/>
  <c r="J9" i="1"/>
  <c r="O9" i="1" s="1"/>
  <c r="K9" i="1"/>
  <c r="N9" i="1" s="1"/>
  <c r="I9" i="1"/>
  <c r="M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Nehushtan</author>
  </authors>
  <commentList>
    <comment ref="M7" authorId="0" shapeId="0" xr:uid="{345CEBFA-75FB-4FDE-934B-219ACF2A8449}">
      <text>
        <r>
          <rPr>
            <b/>
            <sz val="9"/>
            <color indexed="81"/>
            <rFont val="Tahoma"/>
            <family val="2"/>
          </rPr>
          <t>Dan Nehushtan:</t>
        </r>
        <r>
          <rPr>
            <sz val="9"/>
            <color indexed="81"/>
            <rFont val="Tahoma"/>
            <family val="2"/>
          </rPr>
          <t xml:space="preserve">
axis flipped between 2 programs</t>
        </r>
      </text>
    </comment>
    <comment ref="M12" authorId="0" shapeId="0" xr:uid="{A545CD50-D26A-45BF-815D-BE722FF5A488}">
      <text>
        <r>
          <rPr>
            <b/>
            <sz val="9"/>
            <color indexed="81"/>
            <rFont val="Tahoma"/>
            <family val="2"/>
          </rPr>
          <t>Dan Nehushtan:</t>
        </r>
        <r>
          <rPr>
            <sz val="9"/>
            <color indexed="81"/>
            <rFont val="Tahoma"/>
            <family val="2"/>
          </rPr>
          <t xml:space="preserve">
axis flipped between 2 programs</t>
        </r>
      </text>
    </comment>
  </commentList>
</comments>
</file>

<file path=xl/sharedStrings.xml><?xml version="1.0" encoding="utf-8"?>
<sst xmlns="http://schemas.openxmlformats.org/spreadsheetml/2006/main" count="51" uniqueCount="21">
  <si>
    <t>Red Book</t>
  </si>
  <si>
    <t>Point</t>
  </si>
  <si>
    <t>x</t>
  </si>
  <si>
    <t>y</t>
  </si>
  <si>
    <t>z</t>
  </si>
  <si>
    <t>Point 1</t>
  </si>
  <si>
    <t>Point 2</t>
  </si>
  <si>
    <t>Left</t>
  </si>
  <si>
    <t>Right</t>
  </si>
  <si>
    <t>MATLAB</t>
  </si>
  <si>
    <t>Purple Book</t>
  </si>
  <si>
    <t xml:space="preserve">-0.247203 , -0.0888485 , 0.305 </t>
  </si>
  <si>
    <t>Translation</t>
  </si>
  <si>
    <t>Matlab</t>
  </si>
  <si>
    <t>Solidworks</t>
  </si>
  <si>
    <t>North</t>
  </si>
  <si>
    <t>X</t>
  </si>
  <si>
    <t>East</t>
  </si>
  <si>
    <t>Z</t>
  </si>
  <si>
    <t>Up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</si>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</sst>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212121"/>
      <name val="Menl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410E-67C7-484F-800A-21858C9AA8EC}">
  <dimension ref="A1:S15"/>
  <sheetViews>
    <sheetView tabSelected="1" workbookViewId="0">
      <selection activeCell="H2" sqref="H2"/>
    </sheetView>
  </sheetViews>
  <sheetFormatPr defaultRowHeight="15"/>
  <cols>
    <col min="1" max="1" width="17.7109375" style="2" customWidth="1"/>
    <col min="2" max="2" width="8.5703125" style="2" customWidth="1"/>
    <col min="3" max="8" width="9.140625" style="2"/>
    <col min="9" max="9" width="12" style="2" bestFit="1" customWidth="1"/>
    <col min="10" max="16384" width="9.140625" style="2"/>
  </cols>
  <sheetData>
    <row r="1" spans="1:19">
      <c r="A1" s="2" t="s">
        <v>12</v>
      </c>
      <c r="B1" s="2" t="s">
        <v>13</v>
      </c>
      <c r="C1" s="2" t="s">
        <v>14</v>
      </c>
    </row>
    <row r="2" spans="1:19">
      <c r="A2" s="2" t="s">
        <v>2</v>
      </c>
      <c r="B2" s="2">
        <v>-0.24720300000000001</v>
      </c>
      <c r="F2" s="2" t="s">
        <v>17</v>
      </c>
      <c r="G2" s="2" t="s">
        <v>18</v>
      </c>
    </row>
    <row r="3" spans="1:19">
      <c r="A3" s="2" t="s">
        <v>3</v>
      </c>
      <c r="B3" s="2">
        <v>-8.8484999999999994E-2</v>
      </c>
      <c r="F3" s="2" t="s">
        <v>15</v>
      </c>
      <c r="G3" s="2" t="s">
        <v>16</v>
      </c>
    </row>
    <row r="4" spans="1:19">
      <c r="A4" s="2" t="s">
        <v>4</v>
      </c>
      <c r="B4" s="2">
        <v>0.30499999999999999</v>
      </c>
      <c r="F4" s="2" t="s">
        <v>19</v>
      </c>
      <c r="G4" s="2" t="s">
        <v>20</v>
      </c>
    </row>
    <row r="7" spans="1:19">
      <c r="B7" s="3" t="s">
        <v>7</v>
      </c>
      <c r="C7" s="3"/>
      <c r="D7" s="3"/>
      <c r="E7" s="3" t="s">
        <v>8</v>
      </c>
      <c r="F7" s="3"/>
      <c r="G7" s="3"/>
      <c r="H7" s="4"/>
      <c r="I7" s="3" t="s">
        <v>1</v>
      </c>
      <c r="J7" s="3"/>
      <c r="K7" s="3"/>
      <c r="L7" s="4"/>
      <c r="M7" s="3" t="s">
        <v>9</v>
      </c>
      <c r="N7" s="3"/>
      <c r="O7" s="3"/>
      <c r="Q7" s="5"/>
      <c r="R7" s="5"/>
      <c r="S7" s="5"/>
    </row>
    <row r="8" spans="1:19">
      <c r="A8" s="1" t="s">
        <v>0</v>
      </c>
      <c r="B8" s="1" t="s">
        <v>2</v>
      </c>
      <c r="C8" s="1" t="s">
        <v>3</v>
      </c>
      <c r="D8" s="1" t="s">
        <v>4</v>
      </c>
      <c r="E8" s="1" t="s">
        <v>2</v>
      </c>
      <c r="F8" s="1" t="s">
        <v>3</v>
      </c>
      <c r="G8" s="1" t="s">
        <v>4</v>
      </c>
      <c r="I8" s="1" t="s">
        <v>2</v>
      </c>
      <c r="J8" s="1" t="s">
        <v>3</v>
      </c>
      <c r="K8" s="1" t="s">
        <v>4</v>
      </c>
      <c r="L8" s="1"/>
      <c r="M8" s="1" t="s">
        <v>2</v>
      </c>
      <c r="N8" s="1" t="s">
        <v>3</v>
      </c>
      <c r="O8" s="1" t="s">
        <v>4</v>
      </c>
    </row>
    <row r="9" spans="1:19">
      <c r="A9" s="2" t="s">
        <v>5</v>
      </c>
      <c r="B9" s="2">
        <v>7.4609147299999998</v>
      </c>
      <c r="C9" s="2">
        <v>215.54686108999999</v>
      </c>
      <c r="D9" s="2">
        <v>219.66944244000001</v>
      </c>
      <c r="E9" s="2">
        <v>37.237399189999998</v>
      </c>
      <c r="F9" s="2">
        <v>215.54686108999999</v>
      </c>
      <c r="G9" s="2">
        <v>216.6188018</v>
      </c>
      <c r="I9" s="2">
        <f>(B9+E9) / 2</f>
        <v>22.349156959999998</v>
      </c>
      <c r="J9" s="2">
        <f>(C9+F9) / 2</f>
        <v>215.54686108999999</v>
      </c>
      <c r="K9" s="2">
        <f>(D9+G9) / 2</f>
        <v>218.14412212000002</v>
      </c>
      <c r="M9" s="2">
        <f>I9/1000</f>
        <v>2.2349156959999998E-2</v>
      </c>
      <c r="N9" s="2">
        <f>-K9/1000</f>
        <v>-0.21814412212000003</v>
      </c>
      <c r="O9" s="2">
        <f>J9/1000</f>
        <v>0.21554686108999999</v>
      </c>
    </row>
    <row r="10" spans="1:19" ht="18">
      <c r="A10" s="2" t="s">
        <v>6</v>
      </c>
      <c r="B10" s="2">
        <v>-172.42892266000001</v>
      </c>
      <c r="C10" s="2">
        <v>203.85360245999999</v>
      </c>
      <c r="D10" s="2">
        <v>45.271316380000002</v>
      </c>
      <c r="E10" s="2">
        <v>-164.28693333999999</v>
      </c>
      <c r="F10" s="2">
        <v>204.76070496</v>
      </c>
      <c r="G10" s="2">
        <v>72.283263109999993</v>
      </c>
      <c r="I10" s="2">
        <f>(B10+E10) / 2</f>
        <v>-168.35792800000002</v>
      </c>
      <c r="J10" s="2">
        <f>(C10+F10) / 2</f>
        <v>204.30715370999999</v>
      </c>
      <c r="K10" s="2">
        <f>(D10+G10) / 2</f>
        <v>58.777289744999997</v>
      </c>
      <c r="M10" s="2">
        <f>I10/1000</f>
        <v>-0.16835792800000002</v>
      </c>
      <c r="N10" s="2">
        <f>-K10/1000</f>
        <v>-5.8777289744999996E-2</v>
      </c>
      <c r="O10" s="2">
        <f>J10/1000</f>
        <v>0.20430715370999999</v>
      </c>
      <c r="Q10" s="6" t="s">
        <v>11</v>
      </c>
    </row>
    <row r="12" spans="1:19">
      <c r="B12" s="3" t="s">
        <v>7</v>
      </c>
      <c r="C12" s="3"/>
      <c r="D12" s="3"/>
      <c r="E12" s="3" t="s">
        <v>8</v>
      </c>
      <c r="F12" s="3"/>
      <c r="G12" s="3"/>
      <c r="H12" s="4"/>
      <c r="I12" s="3" t="s">
        <v>1</v>
      </c>
      <c r="J12" s="3"/>
      <c r="K12" s="3"/>
      <c r="L12" s="4"/>
      <c r="M12" s="3" t="s">
        <v>9</v>
      </c>
      <c r="N12" s="3"/>
      <c r="O12" s="3"/>
    </row>
    <row r="13" spans="1:19">
      <c r="A13" s="1" t="s">
        <v>10</v>
      </c>
      <c r="B13" s="1" t="s">
        <v>2</v>
      </c>
      <c r="C13" s="1" t="s">
        <v>3</v>
      </c>
      <c r="D13" s="1" t="s">
        <v>4</v>
      </c>
      <c r="E13" s="1" t="s">
        <v>2</v>
      </c>
      <c r="F13" s="1" t="s">
        <v>3</v>
      </c>
      <c r="G13" s="1" t="s">
        <v>4</v>
      </c>
      <c r="I13" s="1" t="s">
        <v>2</v>
      </c>
      <c r="J13" s="1" t="s">
        <v>3</v>
      </c>
      <c r="K13" s="1" t="s">
        <v>4</v>
      </c>
      <c r="L13" s="1"/>
      <c r="M13" s="1" t="s">
        <v>2</v>
      </c>
      <c r="N13" s="1" t="s">
        <v>3</v>
      </c>
      <c r="O13" s="1" t="s">
        <v>4</v>
      </c>
    </row>
    <row r="14" spans="1:19">
      <c r="A14" s="2" t="s">
        <v>5</v>
      </c>
      <c r="B14" s="2">
        <v>-311.24281165999997</v>
      </c>
      <c r="C14" s="2">
        <v>85.845231400000003</v>
      </c>
      <c r="D14" s="2">
        <v>6.8227357</v>
      </c>
      <c r="E14" s="2">
        <v>-311.05351882000002</v>
      </c>
      <c r="F14" s="2">
        <v>85.845231400000003</v>
      </c>
      <c r="G14" s="2">
        <v>12.819748969999999</v>
      </c>
      <c r="I14" s="2">
        <f>(B14+E14) / 2</f>
        <v>-311.14816524000003</v>
      </c>
      <c r="J14" s="2">
        <f>(C14+F14) / 2</f>
        <v>85.845231400000003</v>
      </c>
      <c r="K14" s="2">
        <f>(D14+G14) / 2</f>
        <v>9.8212423349999991</v>
      </c>
      <c r="M14" s="2">
        <f>I14/1000</f>
        <v>-0.31114816524000005</v>
      </c>
      <c r="N14" s="2">
        <f>-K14/1000</f>
        <v>-9.8212423349999991E-3</v>
      </c>
      <c r="O14" s="2">
        <f>J14/1000</f>
        <v>8.5845231399999999E-2</v>
      </c>
    </row>
    <row r="15" spans="1:19">
      <c r="A15" s="2" t="s">
        <v>6</v>
      </c>
      <c r="B15" s="2">
        <v>-203.82419475</v>
      </c>
      <c r="C15" s="2">
        <v>194.00020762</v>
      </c>
      <c r="D15" s="2">
        <v>0.33464512000000002</v>
      </c>
      <c r="E15" s="2">
        <v>-205.08893402999999</v>
      </c>
      <c r="F15" s="2">
        <v>193.28601320999999</v>
      </c>
      <c r="G15" s="2">
        <v>14.047843540000001</v>
      </c>
      <c r="I15" s="2">
        <f>(B15+E15) / 2</f>
        <v>-204.45656438999998</v>
      </c>
      <c r="J15" s="2">
        <f>(C15+F15) / 2</f>
        <v>193.643110415</v>
      </c>
      <c r="K15" s="2">
        <f>(D15+G15) / 2</f>
        <v>7.19124433</v>
      </c>
      <c r="M15" s="2">
        <f>I15/1000</f>
        <v>-0.20445656438999998</v>
      </c>
      <c r="N15" s="2">
        <f>-K15/1000</f>
        <v>-7.1912443299999998E-3</v>
      </c>
      <c r="O15" s="2">
        <f>J15/1000</f>
        <v>0.19364311041499999</v>
      </c>
    </row>
  </sheetData>
  <mergeCells count="8">
    <mergeCell ref="M7:O7"/>
    <mergeCell ref="B12:D12"/>
    <mergeCell ref="E12:G12"/>
    <mergeCell ref="I12:K12"/>
    <mergeCell ref="M12:O12"/>
    <mergeCell ref="B7:D7"/>
    <mergeCell ref="E7:G7"/>
    <mergeCell ref="I7:K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Nehushtan [mn22dn]</dc:creator>
  <cp:lastModifiedBy>Dan Nehushtan [mn22dn]</cp:lastModifiedBy>
  <dcterms:created xsi:type="dcterms:W3CDTF">2025-04-29T13:58:54Z</dcterms:created>
  <dcterms:modified xsi:type="dcterms:W3CDTF">2025-04-29T15:02:40Z</dcterms:modified>
</cp:coreProperties>
</file>